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Диаграмма" sheetId="2" state="visible" r:id="rId4"/>
    <sheet name="Гистограмма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<sst xmlns="http://schemas.openxmlformats.org/spreadsheetml/2006/main" count="31" uniqueCount="24">
  <si>
    <t xml:space="preserve">Фамилия Имя Отчество</t>
  </si>
  <si>
    <t xml:space="preserve">Город рождения</t>
  </si>
  <si>
    <t xml:space="preserve">Дата рождения </t>
  </si>
  <si>
    <t xml:space="preserve">Оценки по курсу</t>
  </si>
  <si>
    <t xml:space="preserve">Информатика</t>
  </si>
  <si>
    <t xml:space="preserve">Линейная алгебра</t>
  </si>
  <si>
    <t xml:space="preserve">Культурология</t>
  </si>
  <si>
    <t xml:space="preserve">Психология</t>
  </si>
  <si>
    <t xml:space="preserve">Возраст каждого студента</t>
  </si>
  <si>
    <t xml:space="preserve">Средняя оценка</t>
  </si>
  <si>
    <t xml:space="preserve">Пункт 6</t>
  </si>
  <si>
    <t xml:space="preserve">Иванов Иван Иванович</t>
  </si>
  <si>
    <t xml:space="preserve">Санкт-Петербург</t>
  </si>
  <si>
    <t xml:space="preserve">Лапушкин Валерий Федорович</t>
  </si>
  <si>
    <t xml:space="preserve">Калиточкин Михаил Сергеевич</t>
  </si>
  <si>
    <t xml:space="preserve">Мурманск</t>
  </si>
  <si>
    <t xml:space="preserve">н/я</t>
  </si>
  <si>
    <t xml:space="preserve">Зинаев Дмитрий Алексеевич</t>
  </si>
  <si>
    <t xml:space="preserve">Архангельск</t>
  </si>
  <si>
    <t xml:space="preserve">Валюшин Роман Капитонович</t>
  </si>
  <si>
    <t xml:space="preserve">Калининград</t>
  </si>
  <si>
    <t xml:space="preserve">Завитушкин Владимир Ильич</t>
  </si>
  <si>
    <t xml:space="preserve">4-5</t>
  </si>
  <si>
    <t xml:space="preserve">&lt;4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</si>
</sst>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name val="Garamond"/>
      <family val="1"/>
      <charset val="204"/>
    </font>
    <font>
      <i val="true"/>
      <sz val="14"/>
      <name val="Times New Roman"/>
      <family val="1"/>
      <charset val="204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2A6099"/>
      </left>
      <right/>
      <top style="thin">
        <color rgb="FF2A6099"/>
      </top>
      <bottom/>
      <diagonal/>
    </border>
    <border diagonalUp="false" diagonalDown="false">
      <left/>
      <right/>
      <top style="thin">
        <color rgb="FF2A6099"/>
      </top>
      <bottom/>
      <diagonal/>
    </border>
    <border diagonalUp="false" diagonalDown="false">
      <left/>
      <right style="thin">
        <color rgb="FF2A6099"/>
      </right>
      <top style="thin">
        <color rgb="FF2A6099"/>
      </top>
      <bottom/>
      <diagonal/>
    </border>
    <border diagonalUp="false" diagonalDown="false">
      <left/>
      <right style="thin">
        <color rgb="FF2A6099"/>
      </right>
      <top/>
      <bottom/>
      <diagonal/>
    </border>
    <border diagonalUp="false" diagonalDown="false">
      <left style="thin">
        <color rgb="FF2A6099"/>
      </left>
      <right/>
      <top/>
      <bottom/>
      <diagonal/>
    </border>
    <border diagonalUp="false" diagonalDown="false">
      <left style="thin">
        <color rgb="FF2A6099"/>
      </left>
      <right/>
      <top/>
      <bottom style="thin">
        <color rgb="FF2A6099"/>
      </bottom>
      <diagonal/>
    </border>
    <border diagonalUp="false" diagonalDown="false">
      <left/>
      <right/>
      <top/>
      <bottom style="thin">
        <color rgb="FF2A6099"/>
      </bottom>
      <diagonal/>
    </border>
    <border diagonalUp="false" diagonalDown="false">
      <left/>
      <right style="thin">
        <color rgb="FF2A6099"/>
      </right>
      <top/>
      <bottom style="thin">
        <color rgb="FF2A60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Распределение среднего балла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Диаграмма!$A$1:$A$3</c:f>
              <c:strCache>
                <c:ptCount val="3"/>
                <c:pt idx="0">
                  <c:v>5</c:v>
                </c:pt>
                <c:pt idx="1">
                  <c:v>4-5</c:v>
                </c:pt>
                <c:pt idx="2">
                  <c:v>&lt;4</c:v>
                </c:pt>
              </c:strCache>
            </c:strRef>
          </c:cat>
          <c:val>
            <c:numRef>
              <c:f>Диаграмма!$B$1:$B$3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Средний балл по предмету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Гистограмма!$A$1:$D$1</c:f>
              <c:strCache>
                <c:ptCount val="4"/>
                <c:pt idx="0">
                  <c:v>Информатика</c:v>
                </c:pt>
                <c:pt idx="1">
                  <c:v>Линейная алгебра</c:v>
                </c:pt>
                <c:pt idx="2">
                  <c:v>Культурология</c:v>
                </c:pt>
                <c:pt idx="3">
                  <c:v>Психология</c:v>
                </c:pt>
              </c:strCache>
            </c:strRef>
          </c:cat>
          <c:val>
            <c:numRef>
              <c:f>Гистограмма!$A$2:$D$2</c:f>
              <c:numCache>
                <c:formatCode>General</c:formatCode>
                <c:ptCount val="4"/>
                <c:pt idx="0">
                  <c:v>4.2</c:v>
                </c:pt>
                <c:pt idx="1">
                  <c:v>4</c:v>
                </c:pt>
                <c:pt idx="2">
                  <c:v>4</c:v>
                </c:pt>
                <c:pt idx="3">
                  <c:v>4.3333333333333</c:v>
                </c:pt>
              </c:numCache>
            </c:numRef>
          </c:val>
        </c:ser>
        <c:gapWidth val="100"/>
        <c:overlap val="0"/>
        <c:axId val="29104210"/>
        <c:axId val="33912372"/>
      </c:barChart>
      <c:catAx>
        <c:axId val="291042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3912372"/>
        <c:crosses val="autoZero"/>
        <c:auto val="1"/>
        <c:lblAlgn val="ctr"/>
        <c:lblOffset val="100"/>
        <c:noMultiLvlLbl val="0"/>
      </c:catAx>
      <c:valAx>
        <c:axId val="339123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910421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1800</xdr:rowOff>
    </xdr:from>
    <xdr:to>
      <xdr:col>7</xdr:col>
      <xdr:colOff>70200</xdr:colOff>
      <xdr:row>18</xdr:row>
      <xdr:rowOff>141840</xdr:rowOff>
    </xdr:to>
    <xdr:graphicFrame>
      <xdr:nvGraphicFramePr>
        <xdr:cNvPr id="1" name=""/>
        <xdr:cNvGraphicFramePr/>
      </xdr:nvGraphicFramePr>
      <xdr:xfrm>
        <a:off x="0" y="1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7</xdr:col>
      <xdr:colOff>68400</xdr:colOff>
      <xdr:row>19</xdr:row>
      <xdr:rowOff>96120</xdr:rowOff>
    </xdr:to>
    <xdr:graphicFrame>
      <xdr:nvGraphicFramePr>
        <xdr:cNvPr id="2" name=""/>
        <xdr:cNvGraphicFramePr/>
      </xdr:nvGraphicFramePr>
      <xdr:xfrm>
        <a:off x="0" y="0"/>
        <a:ext cx="5757840" cy="3242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97" activeCellId="0" sqref="D9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6.62"/>
    <col collapsed="false" customWidth="true" hidden="false" outlineLevel="0" max="2" min="2" style="0" width="23.48"/>
    <col collapsed="false" customWidth="true" hidden="false" outlineLevel="0" max="3" min="3" style="0" width="22.65"/>
    <col collapsed="false" customWidth="true" hidden="false" outlineLevel="0" max="4" min="4" style="0" width="25.18"/>
    <col collapsed="false" customWidth="true" hidden="false" outlineLevel="0" max="5" min="5" style="0" width="27.95"/>
    <col collapsed="false" customWidth="true" hidden="false" outlineLevel="0" max="6" min="6" style="0" width="29.15"/>
    <col collapsed="false" customWidth="true" hidden="false" outlineLevel="0" max="7" min="7" style="0" width="29.76"/>
    <col collapsed="false" customWidth="true" hidden="false" outlineLevel="0" max="8" min="8" style="0" width="23.13"/>
    <col collapsed="false" customWidth="true" hidden="false" outlineLevel="0" max="9" min="9" style="0" width="18.07"/>
  </cols>
  <sheetData>
    <row r="1" customFormat="false" ht="39.45" hidden="false" customHeight="tru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/>
      <c r="F1" s="3"/>
      <c r="G1" s="3"/>
    </row>
    <row r="2" customFormat="false" ht="35.45" hidden="false" customHeight="true" outlineLevel="0" collapsed="false">
      <c r="A2" s="1"/>
      <c r="B2" s="2"/>
      <c r="C2" s="2"/>
      <c r="D2" s="4" t="s">
        <v>4</v>
      </c>
      <c r="E2" s="4" t="s">
        <v>5</v>
      </c>
      <c r="F2" s="4" t="s">
        <v>6</v>
      </c>
      <c r="G2" s="5" t="s">
        <v>7</v>
      </c>
      <c r="H2" s="6" t="s">
        <v>8</v>
      </c>
      <c r="I2" s="0" t="s">
        <v>9</v>
      </c>
      <c r="J2" s="0" t="s">
        <v>10</v>
      </c>
      <c r="K2" s="0" t="n">
        <v>2.4</v>
      </c>
    </row>
    <row r="3" customFormat="false" ht="17.35" hidden="false" customHeight="false" outlineLevel="0" collapsed="false">
      <c r="A3" s="7" t="s">
        <v>11</v>
      </c>
      <c r="B3" s="8" t="s">
        <v>12</v>
      </c>
      <c r="C3" s="9" t="n">
        <v>39345</v>
      </c>
      <c r="D3" s="8" t="n">
        <v>5</v>
      </c>
      <c r="E3" s="8" t="n">
        <v>3</v>
      </c>
      <c r="F3" s="8" t="n">
        <v>4</v>
      </c>
      <c r="G3" s="10" t="n">
        <v>4</v>
      </c>
      <c r="H3" s="0" t="n">
        <f aca="true"> 
(YEAR(NOW())-YEAR(C3))</f>
        <v>19</v>
      </c>
      <c r="I3" s="0" t="n">
        <f aca="false">SUM(D3:G3)/4</f>
        <v>4</v>
      </c>
      <c r="J3" s="0" t="n">
        <f aca="false">I3*K2</f>
        <v>9.6</v>
      </c>
    </row>
    <row r="4" customFormat="false" ht="17.35" hidden="false" customHeight="false" outlineLevel="0" collapsed="false">
      <c r="A4" s="7" t="s">
        <v>13</v>
      </c>
      <c r="B4" s="8" t="s">
        <v>12</v>
      </c>
      <c r="C4" s="9" t="n">
        <v>38944</v>
      </c>
      <c r="D4" s="8" t="n">
        <v>4</v>
      </c>
      <c r="E4" s="8" t="n">
        <v>4</v>
      </c>
      <c r="F4" s="8" t="n">
        <v>4</v>
      </c>
      <c r="G4" s="10" t="n">
        <v>4</v>
      </c>
      <c r="H4" s="0" t="n">
        <f aca="true"> 
(YEAR(NOW())-YEAR(C4))</f>
        <v>20</v>
      </c>
      <c r="I4" s="0" t="n">
        <f aca="false">SUM(D4:G4)/4</f>
        <v>4</v>
      </c>
      <c r="J4" s="0" t="n">
        <f aca="false">I4*K2</f>
        <v>9.6</v>
      </c>
    </row>
    <row r="5" customFormat="false" ht="17.35" hidden="false" customHeight="false" outlineLevel="0" collapsed="false">
      <c r="A5" s="7" t="s">
        <v>14</v>
      </c>
      <c r="B5" s="8" t="s">
        <v>15</v>
      </c>
      <c r="C5" s="9" t="n">
        <v>38052</v>
      </c>
      <c r="D5" s="8" t="s">
        <v>16</v>
      </c>
      <c r="E5" s="8" t="n">
        <v>3</v>
      </c>
      <c r="F5" s="8" t="n">
        <v>4</v>
      </c>
      <c r="G5" s="10" t="n">
        <v>4</v>
      </c>
      <c r="H5" s="0" t="n">
        <f aca="true"> 
(YEAR(NOW())-YEAR(C5))</f>
        <v>22</v>
      </c>
      <c r="I5" s="0" t="n">
        <f aca="false">SUM(E5:G5)/3</f>
        <v>3.66666666666667</v>
      </c>
      <c r="J5" s="0" t="n">
        <f aca="false">I5*K2</f>
        <v>8.8</v>
      </c>
    </row>
    <row r="6" customFormat="false" ht="17.35" hidden="false" customHeight="false" outlineLevel="0" collapsed="false">
      <c r="A6" s="7" t="s">
        <v>17</v>
      </c>
      <c r="B6" s="8" t="s">
        <v>18</v>
      </c>
      <c r="C6" s="9" t="n">
        <v>39075</v>
      </c>
      <c r="D6" s="8" t="n">
        <v>5</v>
      </c>
      <c r="E6" s="8" t="n">
        <v>5</v>
      </c>
      <c r="F6" s="8" t="n">
        <v>5</v>
      </c>
      <c r="G6" s="10" t="n">
        <v>5</v>
      </c>
      <c r="H6" s="0" t="n">
        <f aca="true"> 
(YEAR(NOW())-YEAR(C6))</f>
        <v>20</v>
      </c>
      <c r="I6" s="0" t="n">
        <f aca="false">SUM(D6:G6)/4</f>
        <v>5</v>
      </c>
      <c r="J6" s="0" t="n">
        <f aca="false">I6*K2</f>
        <v>12</v>
      </c>
    </row>
    <row r="7" customFormat="false" ht="17.35" hidden="false" customHeight="false" outlineLevel="0" collapsed="false">
      <c r="A7" s="7" t="s">
        <v>19</v>
      </c>
      <c r="B7" s="8" t="s">
        <v>20</v>
      </c>
      <c r="C7" s="9" t="n">
        <v>39124</v>
      </c>
      <c r="D7" s="8" t="n">
        <v>3</v>
      </c>
      <c r="E7" s="8" t="s">
        <v>16</v>
      </c>
      <c r="F7" s="8" t="n">
        <v>4</v>
      </c>
      <c r="G7" s="10" t="n">
        <v>4</v>
      </c>
      <c r="H7" s="0" t="n">
        <f aca="true"> 
(YEAR(NOW())-YEAR(C7))</f>
        <v>19</v>
      </c>
      <c r="I7" s="0" t="n">
        <f aca="false">(D7+F7+G7)/3</f>
        <v>3.66666666666667</v>
      </c>
      <c r="J7" s="0" t="n">
        <f aca="false">I7*K2</f>
        <v>8.8</v>
      </c>
    </row>
    <row r="8" customFormat="false" ht="17.35" hidden="false" customHeight="false" outlineLevel="0" collapsed="false">
      <c r="A8" s="11" t="s">
        <v>21</v>
      </c>
      <c r="B8" s="12" t="s">
        <v>12</v>
      </c>
      <c r="C8" s="13" t="n">
        <v>38977</v>
      </c>
      <c r="D8" s="12" t="n">
        <v>4</v>
      </c>
      <c r="E8" s="12" t="n">
        <v>5</v>
      </c>
      <c r="F8" s="12" t="n">
        <v>3</v>
      </c>
      <c r="G8" s="14" t="n">
        <v>5</v>
      </c>
      <c r="H8" s="0" t="n">
        <f aca="true"> 
(YEAR(NOW())-YEAR(C8))</f>
        <v>20</v>
      </c>
      <c r="I8" s="0" t="n">
        <f aca="false">SUM(D8:G8)/4</f>
        <v>4.25</v>
      </c>
      <c r="J8" s="0" t="n">
        <f aca="false">I8*K2</f>
        <v>10.2</v>
      </c>
    </row>
    <row r="9" customFormat="false" ht="17.35" hidden="false" customHeight="false" outlineLevel="0" collapsed="false">
      <c r="A9" s="8"/>
      <c r="B9" s="8"/>
      <c r="C9" s="8"/>
      <c r="D9" s="8"/>
      <c r="E9" s="8"/>
      <c r="F9" s="8"/>
      <c r="G9" s="8"/>
    </row>
    <row r="10" customFormat="false" ht="17.35" hidden="false" customHeight="false" outlineLevel="0" collapsed="false">
      <c r="A10" s="8"/>
      <c r="B10" s="8"/>
      <c r="C10" s="8"/>
      <c r="D10" s="8"/>
      <c r="E10" s="8"/>
      <c r="F10" s="8"/>
      <c r="G10" s="8"/>
    </row>
    <row r="11" customFormat="false" ht="17.35" hidden="false" customHeight="false" outlineLevel="0" collapsed="false">
      <c r="A11" s="8"/>
      <c r="B11" s="8"/>
      <c r="C11" s="8"/>
      <c r="D11" s="8"/>
      <c r="E11" s="8"/>
      <c r="F11" s="8"/>
      <c r="G11" s="8"/>
    </row>
    <row r="12" customFormat="false" ht="17.35" hidden="false" customHeight="false" outlineLevel="0" collapsed="false">
      <c r="A12" s="8"/>
      <c r="B12" s="8"/>
      <c r="C12" s="8"/>
      <c r="D12" s="8"/>
      <c r="E12" s="8"/>
      <c r="F12" s="8"/>
      <c r="G12" s="8"/>
    </row>
    <row r="13" customFormat="false" ht="17.35" hidden="false" customHeight="false" outlineLevel="0" collapsed="false">
      <c r="A13" s="8"/>
      <c r="B13" s="8"/>
      <c r="C13" s="8"/>
      <c r="D13" s="8"/>
      <c r="E13" s="8"/>
      <c r="F13" s="8"/>
      <c r="G13" s="8"/>
    </row>
    <row r="14" customFormat="false" ht="17.35" hidden="false" customHeight="false" outlineLevel="0" collapsed="false">
      <c r="A14" s="8"/>
      <c r="B14" s="8"/>
      <c r="C14" s="8"/>
      <c r="D14" s="8"/>
      <c r="E14" s="8"/>
      <c r="F14" s="8"/>
      <c r="G14" s="8"/>
    </row>
    <row r="15" customFormat="false" ht="17.35" hidden="false" customHeight="false" outlineLevel="0" collapsed="false">
      <c r="A15" s="8"/>
      <c r="B15" s="8"/>
      <c r="C15" s="8"/>
      <c r="D15" s="8"/>
      <c r="E15" s="8"/>
      <c r="F15" s="8"/>
      <c r="G15" s="8"/>
    </row>
    <row r="16" customFormat="false" ht="17.35" hidden="false" customHeight="false" outlineLevel="0" collapsed="false">
      <c r="A16" s="8"/>
      <c r="B16" s="8"/>
      <c r="C16" s="8"/>
      <c r="D16" s="8"/>
      <c r="E16" s="8"/>
      <c r="F16" s="8"/>
      <c r="G16" s="8"/>
    </row>
    <row r="17" customFormat="false" ht="17.35" hidden="false" customHeight="false" outlineLevel="0" collapsed="false">
      <c r="A17" s="8"/>
      <c r="B17" s="8"/>
      <c r="C17" s="8"/>
      <c r="D17" s="8"/>
      <c r="E17" s="8"/>
      <c r="F17" s="8"/>
      <c r="G17" s="8"/>
    </row>
    <row r="18" customFormat="false" ht="17.35" hidden="false" customHeight="false" outlineLevel="0" collapsed="false">
      <c r="A18" s="8"/>
      <c r="B18" s="8"/>
      <c r="C18" s="8"/>
      <c r="D18" s="8"/>
      <c r="E18" s="8"/>
      <c r="F18" s="8"/>
      <c r="G18" s="8"/>
    </row>
    <row r="19" customFormat="false" ht="17.35" hidden="false" customHeight="false" outlineLevel="0" collapsed="false">
      <c r="A19" s="8"/>
      <c r="B19" s="8"/>
      <c r="C19" s="8"/>
      <c r="D19" s="8"/>
      <c r="E19" s="8"/>
      <c r="F19" s="8"/>
      <c r="G19" s="8"/>
    </row>
    <row r="20" customFormat="false" ht="17.35" hidden="false" customHeight="false" outlineLevel="0" collapsed="false">
      <c r="A20" s="8"/>
      <c r="B20" s="8"/>
      <c r="C20" s="8"/>
      <c r="D20" s="8"/>
      <c r="E20" s="8"/>
      <c r="F20" s="8"/>
      <c r="G20" s="8"/>
    </row>
    <row r="21" customFormat="false" ht="17.35" hidden="false" customHeight="false" outlineLevel="0" collapsed="false">
      <c r="A21" s="8"/>
      <c r="B21" s="8"/>
      <c r="C21" s="8"/>
      <c r="D21" s="8"/>
      <c r="E21" s="8"/>
      <c r="F21" s="8"/>
      <c r="G21" s="8"/>
    </row>
    <row r="22" customFormat="false" ht="17.35" hidden="false" customHeight="false" outlineLevel="0" collapsed="false">
      <c r="A22" s="8"/>
      <c r="B22" s="8"/>
      <c r="C22" s="8"/>
      <c r="D22" s="8"/>
      <c r="E22" s="8"/>
      <c r="F22" s="8"/>
      <c r="G22" s="8"/>
    </row>
    <row r="23" customFormat="false" ht="17.35" hidden="false" customHeight="false" outlineLevel="0" collapsed="false">
      <c r="A23" s="8"/>
      <c r="B23" s="8"/>
      <c r="C23" s="8"/>
      <c r="D23" s="8"/>
      <c r="E23" s="8"/>
      <c r="F23" s="8"/>
      <c r="G23" s="8"/>
    </row>
    <row r="24" customFormat="false" ht="17.35" hidden="false" customHeight="false" outlineLevel="0" collapsed="false">
      <c r="A24" s="8"/>
      <c r="B24" s="8"/>
      <c r="C24" s="8"/>
      <c r="D24" s="8"/>
      <c r="E24" s="8"/>
      <c r="F24" s="8"/>
      <c r="G24" s="8"/>
    </row>
    <row r="25" customFormat="false" ht="17.35" hidden="false" customHeight="false" outlineLevel="0" collapsed="false">
      <c r="A25" s="8"/>
      <c r="B25" s="8"/>
      <c r="C25" s="8"/>
      <c r="D25" s="8"/>
      <c r="E25" s="8"/>
      <c r="F25" s="8"/>
      <c r="G25" s="8"/>
    </row>
    <row r="26" customFormat="false" ht="17.35" hidden="false" customHeight="false" outlineLevel="0" collapsed="false">
      <c r="A26" s="8"/>
      <c r="B26" s="8"/>
      <c r="C26" s="8"/>
      <c r="D26" s="8"/>
      <c r="E26" s="8"/>
      <c r="F26" s="8"/>
      <c r="G26" s="8"/>
    </row>
    <row r="27" customFormat="false" ht="17.35" hidden="false" customHeight="false" outlineLevel="0" collapsed="false">
      <c r="A27" s="8"/>
      <c r="B27" s="8"/>
      <c r="C27" s="8"/>
      <c r="D27" s="8"/>
      <c r="E27" s="8"/>
      <c r="F27" s="8"/>
      <c r="G27" s="8"/>
    </row>
    <row r="28" customFormat="false" ht="17.35" hidden="false" customHeight="false" outlineLevel="0" collapsed="false">
      <c r="A28" s="8"/>
      <c r="B28" s="8"/>
      <c r="C28" s="8"/>
      <c r="D28" s="8"/>
      <c r="E28" s="8"/>
      <c r="F28" s="8"/>
      <c r="G28" s="8"/>
    </row>
    <row r="29" customFormat="false" ht="17.35" hidden="false" customHeight="false" outlineLevel="0" collapsed="false">
      <c r="A29" s="8"/>
      <c r="B29" s="8"/>
      <c r="C29" s="8"/>
      <c r="D29" s="8"/>
      <c r="E29" s="8"/>
      <c r="F29" s="8"/>
      <c r="G29" s="8"/>
    </row>
  </sheetData>
  <mergeCells count="4">
    <mergeCell ref="A1:A2"/>
    <mergeCell ref="B1:B2"/>
    <mergeCell ref="C1:C2"/>
    <mergeCell ref="D1:G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6" activeCellId="0" sqref="I6"/>
    </sheetView>
  </sheetViews>
  <sheetFormatPr defaultColWidth="11.53515625" defaultRowHeight="12.8" customHeight="false" zeroHeight="false" outlineLevelRow="0" outlineLevelCol="0"/>
  <sheetData>
    <row r="1" customFormat="false" ht="17.35" hidden="false" customHeight="false" outlineLevel="0" collapsed="false">
      <c r="A1" s="8" t="n">
        <v>5</v>
      </c>
      <c r="B1" s="8" t="n">
        <v>1</v>
      </c>
    </row>
    <row r="2" customFormat="false" ht="17.35" hidden="false" customHeight="false" outlineLevel="0" collapsed="false">
      <c r="A2" s="8" t="s">
        <v>22</v>
      </c>
      <c r="B2" s="8" t="n">
        <v>3</v>
      </c>
    </row>
    <row r="3" customFormat="false" ht="17.35" hidden="false" customHeight="false" outlineLevel="0" collapsed="false">
      <c r="A3" s="8" t="s">
        <v>23</v>
      </c>
      <c r="B3" s="8" t="n">
        <v>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4</v>
      </c>
      <c r="B1" s="0" t="s">
        <v>5</v>
      </c>
      <c r="C1" s="0" t="s">
        <v>6</v>
      </c>
      <c r="D1" s="0" t="s">
        <v>7</v>
      </c>
    </row>
    <row r="2" customFormat="false" ht="17.35" hidden="false" customHeight="false" outlineLevel="0" collapsed="false">
      <c r="A2" s="8" t="n">
        <f aca="false">21/5</f>
        <v>4.2</v>
      </c>
      <c r="B2" s="8" t="n">
        <f aca="false">20/5</f>
        <v>4</v>
      </c>
      <c r="C2" s="8" t="n">
        <v>4</v>
      </c>
      <c r="D2" s="8" t="n">
        <v>4.3333333333333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2026-09-30T15:22:20Z</dcterms:created>
  <dc:creator/>
  <dc:description/>
  <dc:language>ru-RU</dc:language>
  <cp:lastModifiedBy/>
  <cp:lastPrinted>2026-09-30T21:58:08Z</cp:lastPrinted>
  <dcterms:modified xsi:type="dcterms:W3CDTF">2026-09-30T22:35:13Z</dcterms:modified>
  <cp:revision>3</cp:revision>
  <dc:subject/>
  <dc:title/>
</cp:coreProperties>
</file>